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UBBER.JANUARIO\Documents\Heubber\Cursos\DIO - Bootcamp Santander (Excel e IA)\"/>
    </mc:Choice>
  </mc:AlternateContent>
  <xr:revisionPtr revIDLastSave="0" documentId="13_ncr:1_{0C9955B4-E685-468B-9741-71A8FBA97630}" xr6:coauthVersionLast="47" xr6:coauthVersionMax="47" xr10:uidLastSave="{00000000-0000-0000-0000-000000000000}"/>
  <bookViews>
    <workbookView xWindow="-108" yWindow="-108" windowWidth="23256" windowHeight="12456" tabRatio="0" xr2:uid="{F16AA416-6E50-4B42-8837-D9ECB7093F95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C31" i="1"/>
  <c r="D18" i="1"/>
  <c r="D19" i="1" s="1"/>
  <c r="D12" i="1"/>
  <c r="D40" i="1" l="1"/>
  <c r="C23" i="1"/>
  <c r="D23" i="1" s="1"/>
  <c r="C24" i="1"/>
  <c r="D24" i="1" s="1"/>
  <c r="C25" i="1"/>
  <c r="D25" i="1" s="1"/>
  <c r="C26" i="1"/>
  <c r="D26" i="1" s="1"/>
  <c r="C22" i="1"/>
  <c r="D22" i="1" s="1"/>
</calcChain>
</file>

<file path=xl/sharedStrings.xml><?xml version="1.0" encoding="utf-8"?>
<sst xmlns="http://schemas.openxmlformats.org/spreadsheetml/2006/main" count="69" uniqueCount="33">
  <si>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</si>
  <si>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</si>
  <si>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</si>
  <si>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</si>
  <si>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</si>
  <si>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</si>
  <si>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</si>
  <si>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</si>
  <si>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</si>
  <si>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</si>
  <si>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</si>
  <si>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Quanto investir por mês?</t>
  </si>
  <si>
    <t>Por quantos anos?</t>
  </si>
  <si>
    <t>Taxa de rendimento mensal?</t>
  </si>
  <si>
    <t>Patrimônio acumulado?</t>
  </si>
  <si>
    <t>Dividendos mensais?</t>
  </si>
  <si>
    <t>Agressivo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</si>
  <si>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</si>
  <si>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</si>
  <si>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</si>
  <si>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</si>
  <si>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</si>
  <si>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</si>
  <si>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</si>
  <si>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</si>
  <si>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</si>
  <si>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</si>
  <si>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</si>
  <si>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</si>
  <si>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</si>
  <si>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Moderado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</si>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</sst>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0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5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/>
    </xf>
    <xf numFmtId="10" fontId="7" fillId="0" borderId="9" xfId="0" applyNumberFormat="1" applyFont="1" applyBorder="1" applyAlignment="1">
      <alignment horizontal="center"/>
    </xf>
    <xf numFmtId="8" fontId="9" fillId="3" borderId="9" xfId="0" applyNumberFormat="1" applyFont="1" applyFill="1" applyBorder="1" applyAlignment="1">
      <alignment horizontal="center"/>
    </xf>
    <xf numFmtId="8" fontId="9" fillId="3" borderId="1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0" fontId="9" fillId="0" borderId="9" xfId="0" applyNumberFormat="1" applyFont="1" applyBorder="1" applyAlignment="1">
      <alignment horizontal="center"/>
    </xf>
    <xf numFmtId="8" fontId="7" fillId="0" borderId="5" xfId="0" applyNumberFormat="1" applyFont="1" applyBorder="1" applyAlignment="1">
      <alignment horizontal="center"/>
    </xf>
    <xf numFmtId="8" fontId="7" fillId="0" borderId="6" xfId="0" applyNumberFormat="1" applyFont="1" applyBorder="1" applyAlignment="1">
      <alignment horizontal="center"/>
    </xf>
    <xf numFmtId="8" fontId="7" fillId="0" borderId="8" xfId="0" applyNumberFormat="1" applyFont="1" applyBorder="1" applyAlignment="1">
      <alignment horizontal="center"/>
    </xf>
    <xf numFmtId="8" fontId="7" fillId="0" borderId="9" xfId="0" applyNumberFormat="1" applyFont="1" applyBorder="1" applyAlignment="1">
      <alignment horizontal="center"/>
    </xf>
    <xf numFmtId="8" fontId="7" fillId="0" borderId="11" xfId="0" applyNumberFormat="1" applyFont="1" applyBorder="1" applyAlignment="1">
      <alignment horizontal="center"/>
    </xf>
    <xf numFmtId="8" fontId="7" fillId="0" borderId="12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indent="3"/>
    </xf>
    <xf numFmtId="0" fontId="6" fillId="0" borderId="5" xfId="0" applyFont="1" applyBorder="1" applyAlignment="1">
      <alignment horizontal="left" indent="3"/>
    </xf>
    <xf numFmtId="0" fontId="6" fillId="0" borderId="7" xfId="0" applyFont="1" applyBorder="1" applyAlignment="1">
      <alignment horizontal="left" indent="3"/>
    </xf>
    <xf numFmtId="0" fontId="6" fillId="0" borderId="8" xfId="0" applyFont="1" applyBorder="1" applyAlignment="1">
      <alignment horizontal="left" indent="3"/>
    </xf>
    <xf numFmtId="0" fontId="6" fillId="0" borderId="4" xfId="0" quotePrefix="1" applyFont="1" applyBorder="1" applyAlignment="1">
      <alignment horizontal="left" indent="3"/>
    </xf>
    <xf numFmtId="0" fontId="6" fillId="0" borderId="5" xfId="0" quotePrefix="1" applyFont="1" applyBorder="1" applyAlignment="1">
      <alignment horizontal="left" indent="3"/>
    </xf>
    <xf numFmtId="0" fontId="6" fillId="0" borderId="7" xfId="0" quotePrefix="1" applyFont="1" applyBorder="1" applyAlignment="1">
      <alignment horizontal="left" indent="3"/>
    </xf>
    <xf numFmtId="0" fontId="6" fillId="0" borderId="8" xfId="0" quotePrefix="1" applyFont="1" applyBorder="1" applyAlignment="1">
      <alignment horizontal="left" indent="3"/>
    </xf>
    <xf numFmtId="0" fontId="8" fillId="3" borderId="7" xfId="0" quotePrefix="1" applyFont="1" applyFill="1" applyBorder="1" applyAlignment="1">
      <alignment horizontal="left" indent="3"/>
    </xf>
    <xf numFmtId="0" fontId="8" fillId="3" borderId="8" xfId="0" quotePrefix="1" applyFont="1" applyFill="1" applyBorder="1" applyAlignment="1">
      <alignment horizontal="left" indent="3"/>
    </xf>
    <xf numFmtId="0" fontId="8" fillId="3" borderId="10" xfId="0" quotePrefix="1" applyFont="1" applyFill="1" applyBorder="1" applyAlignment="1">
      <alignment horizontal="left" indent="3"/>
    </xf>
    <xf numFmtId="0" fontId="8" fillId="3" borderId="11" xfId="0" quotePrefix="1" applyFont="1" applyFill="1" applyBorder="1" applyAlignment="1">
      <alignment horizontal="left" indent="3"/>
    </xf>
    <xf numFmtId="0" fontId="6" fillId="0" borderId="4" xfId="0" applyFont="1" applyBorder="1" applyAlignment="1">
      <alignment horizontal="left" indent="3"/>
    </xf>
    <xf numFmtId="0" fontId="6" fillId="0" borderId="7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6" fillId="3" borderId="10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164" fontId="7" fillId="3" borderId="12" xfId="0" applyNumberFormat="1" applyFont="1" applyFill="1" applyBorder="1" applyAlignment="1">
      <alignment horizontal="center"/>
    </xf>
    <xf numFmtId="0" fontId="4" fillId="5" borderId="0" xfId="3" applyAlignment="1">
      <alignment horizontal="center"/>
    </xf>
    <xf numFmtId="9" fontId="0" fillId="0" borderId="0" xfId="2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164" fontId="1" fillId="6" borderId="0" xfId="0" applyNumberFormat="1" applyFont="1" applyFill="1"/>
    <xf numFmtId="0" fontId="1" fillId="7" borderId="0" xfId="0" applyFont="1" applyFill="1"/>
    <xf numFmtId="0" fontId="4" fillId="5" borderId="0" xfId="3" applyAlignment="1"/>
    <xf numFmtId="164" fontId="1" fillId="7" borderId="0" xfId="0" applyNumberFormat="1" applyFont="1" applyFill="1" applyAlignment="1">
      <alignment horizontal="center"/>
    </xf>
    <xf numFmtId="164" fontId="1" fillId="7" borderId="0" xfId="0" applyNumberFormat="1" applyFont="1" applyFill="1" applyAlignment="1"/>
    <xf numFmtId="0" fontId="4" fillId="5" borderId="0" xfId="3" applyAlignment="1">
      <alignment horizontal="left"/>
    </xf>
    <xf numFmtId="164" fontId="0" fillId="7" borderId="0" xfId="1" applyNumberFormat="1" applyFont="1" applyFill="1"/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0</xdr:row>
      <xdr:rowOff>91440</xdr:rowOff>
    </xdr:from>
    <xdr:to>
      <xdr:col>3</xdr:col>
      <xdr:colOff>1188720</xdr:colOff>
      <xdr:row>7</xdr:row>
      <xdr:rowOff>121921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F5DF8E-5D8C-12F0-C5DE-15287997C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68" t="17906" r="25641" b="18431"/>
        <a:stretch>
          <a:fillRect/>
        </a:stretch>
      </xdr:blipFill>
      <xdr:spPr>
        <a:xfrm>
          <a:off x="762000" y="91440"/>
          <a:ext cx="5402580" cy="1310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0CFF-34A5-43A9-8A06-F4449E01F84A}">
  <dimension ref="A8:F40"/>
  <sheetViews>
    <sheetView showGridLines="0" tabSelected="1" zoomScaleNormal="100" workbookViewId="0">
      <selection activeCell="C7" sqref="C7"/>
    </sheetView>
  </sheetViews>
  <sheetFormatPr defaultColWidth="0" defaultRowHeight="14.4" x14ac:dyDescent="0.3"/>
  <cols>
    <col min="1" max="1" width="9.109375" customWidth="1"/>
    <col min="2" max="2" width="43.33203125" customWidth="1"/>
    <col min="3" max="3" width="20.109375" customWidth="1"/>
    <col min="4" max="4" width="18.44140625" customWidth="1"/>
    <col min="5" max="5" width="9.109375" customWidth="1"/>
    <col min="6" max="6" width="12.77734375" hidden="1" customWidth="1"/>
    <col min="7" max="8" width="8.88671875" hidden="1" customWidth="1"/>
    <col min="9" max="16384" width="8.88671875" hidden="1"/>
  </cols>
  <sheetData>
    <row r="8" spans="2:4" ht="15" thickBot="1" x14ac:dyDescent="0.35"/>
    <row r="9" spans="2:4" ht="29.4" x14ac:dyDescent="0.3">
      <c r="B9" s="3" t="s">
        <v>10</v>
      </c>
      <c r="C9" s="4"/>
      <c r="D9" s="5"/>
    </row>
    <row r="10" spans="2:4" ht="19.8" thickBot="1" x14ac:dyDescent="0.5">
      <c r="B10" s="23" t="s">
        <v>9</v>
      </c>
      <c r="C10" s="24"/>
      <c r="D10" s="9">
        <v>2000</v>
      </c>
    </row>
    <row r="11" spans="2:4" ht="19.8" thickBot="1" x14ac:dyDescent="0.5">
      <c r="B11" s="25" t="s">
        <v>8</v>
      </c>
      <c r="C11" s="26"/>
      <c r="D11" s="10">
        <v>6.0000000000000001E-3</v>
      </c>
    </row>
    <row r="12" spans="2:4" ht="19.8" thickBot="1" x14ac:dyDescent="0.5">
      <c r="B12" s="38" t="s">
        <v>32</v>
      </c>
      <c r="C12" s="39"/>
      <c r="D12" s="40">
        <f>D10*30%</f>
        <v>600</v>
      </c>
    </row>
    <row r="13" spans="2:4" ht="15" thickBot="1" x14ac:dyDescent="0.35"/>
    <row r="14" spans="2:4" ht="29.4" x14ac:dyDescent="0.3">
      <c r="B14" s="6" t="s">
        <v>0</v>
      </c>
      <c r="C14" s="7"/>
      <c r="D14" s="8"/>
    </row>
    <row r="15" spans="2:4" ht="19.8" thickBot="1" x14ac:dyDescent="0.5">
      <c r="B15" s="27" t="s">
        <v>11</v>
      </c>
      <c r="C15" s="28"/>
      <c r="D15" s="14">
        <v>200</v>
      </c>
    </row>
    <row r="16" spans="2:4" ht="19.8" thickBot="1" x14ac:dyDescent="0.5">
      <c r="B16" s="29" t="s">
        <v>12</v>
      </c>
      <c r="C16" s="30"/>
      <c r="D16" s="15">
        <v>5</v>
      </c>
    </row>
    <row r="17" spans="1:4" ht="19.8" thickBot="1" x14ac:dyDescent="0.5">
      <c r="B17" s="29" t="s">
        <v>13</v>
      </c>
      <c r="C17" s="30"/>
      <c r="D17" s="16">
        <v>1.0789999999999999E-2</v>
      </c>
    </row>
    <row r="18" spans="1:4" ht="19.8" thickBot="1" x14ac:dyDescent="0.5">
      <c r="B18" s="31" t="s">
        <v>14</v>
      </c>
      <c r="C18" s="32"/>
      <c r="D18" s="11">
        <f>FV(taxa_mensal,qtd_anos*12,aporte*-1)</f>
        <v>16755.382799697527</v>
      </c>
    </row>
    <row r="19" spans="1:4" ht="19.8" thickBot="1" x14ac:dyDescent="0.5">
      <c r="B19" s="33" t="s">
        <v>15</v>
      </c>
      <c r="C19" s="34"/>
      <c r="D19" s="12">
        <f>patrimonio*rendimento_carteira</f>
        <v>100.53229679818516</v>
      </c>
    </row>
    <row r="20" spans="1:4" ht="15" thickBot="1" x14ac:dyDescent="0.35"/>
    <row r="21" spans="1:4" ht="29.4" x14ac:dyDescent="0.3">
      <c r="B21" s="6" t="s">
        <v>6</v>
      </c>
      <c r="C21" s="7"/>
      <c r="D21" s="13" t="s">
        <v>7</v>
      </c>
    </row>
    <row r="22" spans="1:4" ht="19.8" thickBot="1" x14ac:dyDescent="0.5">
      <c r="A22" s="1">
        <v>2</v>
      </c>
      <c r="B22" s="35" t="s">
        <v>1</v>
      </c>
      <c r="C22" s="17">
        <f>FV($D$17,$A22*12,$D$15*-1)</f>
        <v>5445.5254595290435</v>
      </c>
      <c r="D22" s="18">
        <f>C22*$D$11</f>
        <v>32.673152757174265</v>
      </c>
    </row>
    <row r="23" spans="1:4" ht="19.8" thickBot="1" x14ac:dyDescent="0.5">
      <c r="A23" s="1">
        <v>5</v>
      </c>
      <c r="B23" s="36" t="s">
        <v>2</v>
      </c>
      <c r="C23" s="19">
        <f>FV($D$17,$A23*12,$D$15*-1)</f>
        <v>16755.382799697527</v>
      </c>
      <c r="D23" s="20">
        <f>C23*$D$11</f>
        <v>100.53229679818516</v>
      </c>
    </row>
    <row r="24" spans="1:4" ht="19.8" thickBot="1" x14ac:dyDescent="0.5">
      <c r="A24" s="1">
        <v>10</v>
      </c>
      <c r="B24" s="36" t="s">
        <v>3</v>
      </c>
      <c r="C24" s="19">
        <f>FV($D$17,$A24*12,$D$15*-1)</f>
        <v>48656.842506034438</v>
      </c>
      <c r="D24" s="20">
        <f>C24*$D$11</f>
        <v>291.94105503620665</v>
      </c>
    </row>
    <row r="25" spans="1:4" ht="19.8" thickBot="1" x14ac:dyDescent="0.5">
      <c r="A25" s="1">
        <v>20</v>
      </c>
      <c r="B25" s="36" t="s">
        <v>4</v>
      </c>
      <c r="C25" s="19">
        <f>FV($D$17,$A25*12,$D$15*-1)</f>
        <v>225039.68001941612</v>
      </c>
      <c r="D25" s="20">
        <f>C25*$D$11</f>
        <v>1350.2380801164968</v>
      </c>
    </row>
    <row r="26" spans="1:4" ht="19.8" thickBot="1" x14ac:dyDescent="0.5">
      <c r="A26" s="1">
        <v>30</v>
      </c>
      <c r="B26" s="37" t="s">
        <v>5</v>
      </c>
      <c r="C26" s="21">
        <f>FV($D$17,$A26*12,$D$15*-1)</f>
        <v>864433.93100094295</v>
      </c>
      <c r="D26" s="22">
        <f>C26*$D$11</f>
        <v>5186.6035860056581</v>
      </c>
    </row>
    <row r="30" spans="1:4" x14ac:dyDescent="0.3">
      <c r="B30" s="50" t="s">
        <v>19</v>
      </c>
      <c r="C30" s="41" t="s">
        <v>16</v>
      </c>
      <c r="D30" s="47"/>
    </row>
    <row r="31" spans="1:4" x14ac:dyDescent="0.3">
      <c r="B31" s="46" t="s">
        <v>18</v>
      </c>
      <c r="C31" s="48">
        <f>aporte</f>
        <v>200</v>
      </c>
      <c r="D31" s="49"/>
    </row>
    <row r="33" spans="2:4" x14ac:dyDescent="0.3">
      <c r="B33" s="43" t="s">
        <v>20</v>
      </c>
      <c r="C33" s="43" t="s">
        <v>21</v>
      </c>
      <c r="D33" s="43" t="s">
        <v>22</v>
      </c>
    </row>
    <row r="34" spans="2:4" x14ac:dyDescent="0.3">
      <c r="B34" s="2" t="s">
        <v>23</v>
      </c>
      <c r="C34" s="42">
        <f>VLOOKUP($C$30&amp;"-"&amp;B34,Planilha2!$A:$D,4,FALSE)</f>
        <v>0.5</v>
      </c>
      <c r="D34" s="51">
        <f>aporte*C34</f>
        <v>100</v>
      </c>
    </row>
    <row r="35" spans="2:4" x14ac:dyDescent="0.3">
      <c r="B35" s="2" t="s">
        <v>24</v>
      </c>
      <c r="C35" s="42">
        <f>VLOOKUP($C$30&amp;"-"&amp;B35,Planilha2!$A:$D,4,FALSE)</f>
        <v>0.1</v>
      </c>
      <c r="D35" s="51">
        <f>aporte*C35</f>
        <v>20</v>
      </c>
    </row>
    <row r="36" spans="2:4" x14ac:dyDescent="0.3">
      <c r="B36" s="2" t="s">
        <v>25</v>
      </c>
      <c r="C36" s="42">
        <f>VLOOKUP($C$30&amp;"-"&amp;B36,Planilha2!$A:$D,4,FALSE)</f>
        <v>0.05</v>
      </c>
      <c r="D36" s="51">
        <f>aporte*C36</f>
        <v>10</v>
      </c>
    </row>
    <row r="37" spans="2:4" x14ac:dyDescent="0.3">
      <c r="B37" s="2" t="s">
        <v>26</v>
      </c>
      <c r="C37" s="42">
        <f>VLOOKUP($C$30&amp;"-"&amp;B37,Planilha2!$A:$D,4,FALSE)</f>
        <v>0.05</v>
      </c>
      <c r="D37" s="51">
        <f>aporte*C37</f>
        <v>10</v>
      </c>
    </row>
    <row r="38" spans="2:4" x14ac:dyDescent="0.3">
      <c r="B38" s="2" t="s">
        <v>27</v>
      </c>
      <c r="C38" s="42">
        <f>VLOOKUP($C$30&amp;"-"&amp;B38,Planilha2!$A:$D,4,FALSE)</f>
        <v>0.2</v>
      </c>
      <c r="D38" s="51">
        <f>aporte*C38</f>
        <v>40</v>
      </c>
    </row>
    <row r="39" spans="2:4" x14ac:dyDescent="0.3">
      <c r="B39" s="2" t="s">
        <v>28</v>
      </c>
      <c r="C39" s="42">
        <f>VLOOKUP($C$30&amp;"-"&amp;B39,Planilha2!$A:$D,4,FALSE)</f>
        <v>0.1</v>
      </c>
      <c r="D39" s="51">
        <f>aporte*C39</f>
        <v>20</v>
      </c>
    </row>
    <row r="40" spans="2:4" x14ac:dyDescent="0.3">
      <c r="B40" s="44"/>
      <c r="C40" s="44"/>
      <c r="D40" s="45">
        <f>SUM(D34:D39)</f>
        <v>200</v>
      </c>
    </row>
  </sheetData>
  <mergeCells count="11">
    <mergeCell ref="B21:C21"/>
    <mergeCell ref="B9:D9"/>
    <mergeCell ref="B14:D14"/>
    <mergeCell ref="B10:C10"/>
    <mergeCell ref="B11:C11"/>
    <mergeCell ref="B12:C12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30" xr:uid="{8F262575-1A08-40CD-B635-773850D401D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E8BF-8617-4140-9EBE-DB2038516422}">
  <dimension ref="A3:D21"/>
  <sheetViews>
    <sheetView workbookViewId="0">
      <selection activeCell="D16" sqref="D16"/>
    </sheetView>
  </sheetViews>
  <sheetFormatPr defaultRowHeight="14.4" x14ac:dyDescent="0.3"/>
  <cols>
    <col min="1" max="1" width="26" bestFit="1" customWidth="1"/>
    <col min="2" max="2" width="11.21875" bestFit="1" customWidth="1"/>
    <col min="3" max="3" width="14.77734375" bestFit="1" customWidth="1"/>
    <col min="4" max="4" width="8.88671875" style="2"/>
  </cols>
  <sheetData>
    <row r="3" spans="1:4" x14ac:dyDescent="0.3">
      <c r="A3" s="2" t="s">
        <v>31</v>
      </c>
      <c r="B3" s="2" t="s">
        <v>19</v>
      </c>
      <c r="C3" s="2" t="s">
        <v>20</v>
      </c>
      <c r="D3" s="2" t="s">
        <v>29</v>
      </c>
    </row>
    <row r="4" spans="1:4" x14ac:dyDescent="0.3">
      <c r="A4" t="str">
        <f>$B$4&amp;"-"&amp;C4</f>
        <v>Conservador-Papel</v>
      </c>
      <c r="B4" t="s">
        <v>17</v>
      </c>
      <c r="C4" s="2" t="s">
        <v>23</v>
      </c>
      <c r="D4" s="42">
        <v>0.3</v>
      </c>
    </row>
    <row r="5" spans="1:4" x14ac:dyDescent="0.3">
      <c r="A5" t="str">
        <f t="shared" ref="A5:A9" si="0">$B$4&amp;"-"&amp;C5</f>
        <v>Conservador-Tijolo</v>
      </c>
      <c r="B5" t="s">
        <v>17</v>
      </c>
      <c r="C5" s="2" t="s">
        <v>24</v>
      </c>
      <c r="D5" s="42">
        <v>0.5</v>
      </c>
    </row>
    <row r="6" spans="1:4" x14ac:dyDescent="0.3">
      <c r="A6" t="str">
        <f t="shared" si="0"/>
        <v>Conservador-Híbrido</v>
      </c>
      <c r="B6" t="s">
        <v>17</v>
      </c>
      <c r="C6" s="2" t="s">
        <v>25</v>
      </c>
      <c r="D6" s="42">
        <v>0.1</v>
      </c>
    </row>
    <row r="7" spans="1:4" x14ac:dyDescent="0.3">
      <c r="A7" t="str">
        <f t="shared" si="0"/>
        <v>Conservador-FOFs</v>
      </c>
      <c r="B7" t="s">
        <v>17</v>
      </c>
      <c r="C7" s="2" t="s">
        <v>26</v>
      </c>
      <c r="D7" s="42">
        <v>0.1</v>
      </c>
    </row>
    <row r="8" spans="1:4" x14ac:dyDescent="0.3">
      <c r="A8" t="str">
        <f t="shared" si="0"/>
        <v>Conservador-Desenvolvimento</v>
      </c>
      <c r="B8" t="s">
        <v>17</v>
      </c>
      <c r="C8" s="2" t="s">
        <v>27</v>
      </c>
      <c r="D8" s="42">
        <v>0</v>
      </c>
    </row>
    <row r="9" spans="1:4" ht="15" thickBot="1" x14ac:dyDescent="0.35">
      <c r="A9" s="52" t="str">
        <f t="shared" si="0"/>
        <v>Conservador-Hotelarias</v>
      </c>
      <c r="B9" s="52" t="s">
        <v>17</v>
      </c>
      <c r="C9" s="53" t="s">
        <v>28</v>
      </c>
      <c r="D9" s="54">
        <v>0</v>
      </c>
    </row>
    <row r="10" spans="1:4" x14ac:dyDescent="0.3">
      <c r="A10" t="str">
        <f>$B$10&amp;"-"&amp;C10</f>
        <v>Moderado-Papel</v>
      </c>
      <c r="B10" t="s">
        <v>30</v>
      </c>
      <c r="C10" s="2" t="s">
        <v>23</v>
      </c>
      <c r="D10" s="55">
        <v>0.32</v>
      </c>
    </row>
    <row r="11" spans="1:4" x14ac:dyDescent="0.3">
      <c r="A11" t="str">
        <f t="shared" ref="A11:A15" si="1">$B$10&amp;"-"&amp;C11</f>
        <v>Moderado-Tijolo</v>
      </c>
      <c r="B11" t="s">
        <v>30</v>
      </c>
      <c r="C11" s="2" t="s">
        <v>24</v>
      </c>
      <c r="D11" s="55">
        <v>0.35</v>
      </c>
    </row>
    <row r="12" spans="1:4" x14ac:dyDescent="0.3">
      <c r="A12" t="str">
        <f t="shared" si="1"/>
        <v>Moderado-Híbrido</v>
      </c>
      <c r="B12" t="s">
        <v>30</v>
      </c>
      <c r="C12" s="2" t="s">
        <v>25</v>
      </c>
      <c r="D12" s="55">
        <v>0.08</v>
      </c>
    </row>
    <row r="13" spans="1:4" x14ac:dyDescent="0.3">
      <c r="A13" t="str">
        <f t="shared" si="1"/>
        <v>Moderado-FOFs</v>
      </c>
      <c r="B13" t="s">
        <v>30</v>
      </c>
      <c r="C13" s="2" t="s">
        <v>26</v>
      </c>
      <c r="D13" s="55">
        <v>0.05</v>
      </c>
    </row>
    <row r="14" spans="1:4" x14ac:dyDescent="0.3">
      <c r="A14" t="str">
        <f t="shared" si="1"/>
        <v>Moderado-Desenvolvimento</v>
      </c>
      <c r="B14" t="s">
        <v>30</v>
      </c>
      <c r="C14" s="2" t="s">
        <v>27</v>
      </c>
      <c r="D14" s="55">
        <v>0.1</v>
      </c>
    </row>
    <row r="15" spans="1:4" ht="15" thickBot="1" x14ac:dyDescent="0.35">
      <c r="A15" s="52" t="str">
        <f t="shared" si="1"/>
        <v>Moderado-Hotelarias</v>
      </c>
      <c r="B15" s="52" t="s">
        <v>30</v>
      </c>
      <c r="C15" s="53" t="s">
        <v>28</v>
      </c>
      <c r="D15" s="54">
        <v>0.1</v>
      </c>
    </row>
    <row r="16" spans="1:4" x14ac:dyDescent="0.3">
      <c r="A16" t="str">
        <f>$B$16&amp;"-"&amp;C16</f>
        <v>Agressivo-Papel</v>
      </c>
      <c r="B16" t="s">
        <v>16</v>
      </c>
      <c r="C16" s="2" t="s">
        <v>23</v>
      </c>
      <c r="D16" s="42">
        <v>0.5</v>
      </c>
    </row>
    <row r="17" spans="1:4" x14ac:dyDescent="0.3">
      <c r="A17" t="str">
        <f t="shared" ref="A17:A21" si="2">$B$16&amp;"-"&amp;C17</f>
        <v>Agressivo-Tijolo</v>
      </c>
      <c r="B17" t="s">
        <v>16</v>
      </c>
      <c r="C17" s="2" t="s">
        <v>24</v>
      </c>
      <c r="D17" s="42">
        <v>0.1</v>
      </c>
    </row>
    <row r="18" spans="1:4" x14ac:dyDescent="0.3">
      <c r="A18" t="str">
        <f t="shared" si="2"/>
        <v>Agressivo-Híbrido</v>
      </c>
      <c r="B18" t="s">
        <v>16</v>
      </c>
      <c r="C18" s="2" t="s">
        <v>25</v>
      </c>
      <c r="D18" s="42">
        <v>0.05</v>
      </c>
    </row>
    <row r="19" spans="1:4" x14ac:dyDescent="0.3">
      <c r="A19" t="str">
        <f t="shared" si="2"/>
        <v>Agressivo-FOFs</v>
      </c>
      <c r="B19" t="s">
        <v>16</v>
      </c>
      <c r="C19" s="2" t="s">
        <v>26</v>
      </c>
      <c r="D19" s="42">
        <v>0.05</v>
      </c>
    </row>
    <row r="20" spans="1:4" x14ac:dyDescent="0.3">
      <c r="A20" t="str">
        <f t="shared" si="2"/>
        <v>Agressivo-Desenvolvimento</v>
      </c>
      <c r="B20" t="s">
        <v>16</v>
      </c>
      <c r="C20" s="2" t="s">
        <v>27</v>
      </c>
      <c r="D20" s="42">
        <v>0.2</v>
      </c>
    </row>
    <row r="21" spans="1:4" x14ac:dyDescent="0.3">
      <c r="A21" t="str">
        <f t="shared" si="2"/>
        <v>Agressivo-Hotelarias</v>
      </c>
      <c r="B21" t="s">
        <v>16</v>
      </c>
      <c r="C21" s="2" t="s">
        <v>28</v>
      </c>
      <c r="D21" s="4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RONIER TAVARES SANTANA TORRES</dc:creator>
  <cp:lastModifiedBy>RONIER TAVARES SANTANA TORRES</cp:lastModifiedBy>
  <dcterms:created xsi:type="dcterms:W3CDTF">2026-01-16T17:27:58Z</dcterms:created>
  <dcterms:modified xsi:type="dcterms:W3CDTF">2026-01-21T19:07:53Z</dcterms:modified>
</cp:coreProperties>
</file>